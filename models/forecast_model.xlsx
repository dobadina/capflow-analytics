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Forecast" sheetId="2" r:id="rId5"/>
    <sheet state="visible" name="Variance Tracker" sheetId="3" r:id="rId6"/>
  </sheets>
  <definedNames/>
  <calcPr/>
  <extLst>
    <ext uri="GoogleSheetsCustomDataVersion2">
      <go:sheetsCustomData xmlns:go="http://customooxmlschemas.google.com/" r:id="rId7" roundtripDataChecksum="DWK7ZGgbEhsGVf7g8Lsv6Hu0BHH+vqwaJwLZ8wSPHwk="/>
    </ext>
  </extLst>
</workbook>
</file>

<file path=xl/sharedStrings.xml><?xml version="1.0" encoding="utf-8"?>
<sst xmlns="http://schemas.openxmlformats.org/spreadsheetml/2006/main" count="208" uniqueCount="31">
  <si>
    <t>INPUTS: Change yellow cells only. All other tabs update automatically.</t>
  </si>
  <si>
    <t>Partner</t>
  </si>
  <si>
    <t>Scenario</t>
  </si>
  <si>
    <t>Metric</t>
  </si>
  <si>
    <t>2024-07</t>
  </si>
  <si>
    <t>2024-08</t>
  </si>
  <si>
    <t>2024-09</t>
  </si>
  <si>
    <t>2024-10</t>
  </si>
  <si>
    <t>2024-11</t>
  </si>
  <si>
    <t>2024-12</t>
  </si>
  <si>
    <t>ShopBase</t>
  </si>
  <si>
    <t>Downside</t>
  </si>
  <si>
    <t>Leads</t>
  </si>
  <si>
    <t>Conversion</t>
  </si>
  <si>
    <t>Avg Amount</t>
  </si>
  <si>
    <t>Base</t>
  </si>
  <si>
    <t>Upside</t>
  </si>
  <si>
    <t>MarketHub</t>
  </si>
  <si>
    <t>RetailCloud</t>
  </si>
  <si>
    <t>FORECAST: Calculated from Inputs tab. Do not edit.</t>
  </si>
  <si>
    <t>Volume</t>
  </si>
  <si>
    <t>Revenue</t>
  </si>
  <si>
    <t>ALL PARTNERS</t>
  </si>
  <si>
    <t>Total Volume</t>
  </si>
  <si>
    <t>VARIANCE TRACKER: Enter actuals in yellow cells as each month closes.</t>
  </si>
  <si>
    <t>Month</t>
  </si>
  <si>
    <t>Base Forecast</t>
  </si>
  <si>
    <t>Actual Volume</t>
  </si>
  <si>
    <t>Variance (£)</t>
  </si>
  <si>
    <t>Variance (%)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</si>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</sst>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£#,##0"/>
  </numFmts>
  <fonts count="4">
    <font>
      <sz val="11.0"/>
      <color theme="1"/>
      <name val="Calibri"/>
      <scheme val="minor"/>
    </font>
    <font>
      <b/>
      <sz val="11.0"/>
      <color rgb="FF2C3E50"/>
      <name val="Calibri"/>
      <scheme val="minor"/>
    </font>
    <font>
      <b/>
      <sz val="11.0"/>
      <color rgb="FFFFFFFF"/>
      <name val="Calibri"/>
      <scheme val="minor"/>
    </font>
    <font>
      <sz val="10.0"/>
      <color rgb="FF2C3E5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FF2CC"/>
        <bgColor rgb="FFFFF2CC"/>
      </patternFill>
    </fill>
    <fill>
      <patternFill patternType="solid">
        <fgColor rgb="FFD6EAF8"/>
        <bgColor rgb="FFD6EAF8"/>
      </patternFill>
    </fill>
    <fill>
      <patternFill patternType="solid">
        <fgColor rgb="FFF2F3F4"/>
        <bgColor rgb="FFF2F3F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1" fillId="3" fontId="1" numFmtId="3" xfId="0" applyAlignment="1" applyBorder="1" applyFill="1" applyFont="1" applyNumberFormat="1">
      <alignment horizontal="center" shrinkToFit="0" vertical="center" wrapText="1"/>
    </xf>
    <xf borderId="1" fillId="3" fontId="1" numFmtId="164" xfId="0" applyAlignment="1" applyBorder="1" applyFont="1" applyNumberFormat="1">
      <alignment horizontal="center" shrinkToFit="0" vertical="center" wrapText="1"/>
    </xf>
    <xf borderId="1" fillId="3" fontId="1" numFmtId="165" xfId="0" applyAlignment="1" applyBorder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right" vertical="center"/>
    </xf>
    <xf borderId="1" fillId="4" fontId="3" numFmtId="165" xfId="0" applyAlignment="1" applyBorder="1" applyFill="1" applyFont="1" applyNumberFormat="1">
      <alignment horizontal="right" vertical="center"/>
    </xf>
    <xf borderId="0" fillId="0" fontId="1" numFmtId="0" xfId="0" applyFont="1"/>
    <xf borderId="1" fillId="5" fontId="1" numFmtId="165" xfId="0" applyAlignment="1" applyBorder="1" applyFill="1" applyFont="1" applyNumberForma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2.0"/>
    <col customWidth="1" min="3" max="3" width="18.0"/>
    <col customWidth="1" min="4" max="9" width="12.0"/>
    <col customWidth="1" min="10" max="26" width="8.71"/>
  </cols>
  <sheetData>
    <row r="1" ht="24.75" customHeight="1">
      <c r="A1" s="1" t="s">
        <v>0</v>
      </c>
    </row>
    <row r="2" ht="24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>
      <c r="A3" s="3" t="s">
        <v>10</v>
      </c>
      <c r="B3" s="3" t="s">
        <v>11</v>
      </c>
      <c r="C3" s="3" t="s">
        <v>12</v>
      </c>
      <c r="D3" s="4">
        <v>192.0</v>
      </c>
      <c r="E3" s="4">
        <v>192.0</v>
      </c>
      <c r="F3" s="4">
        <v>192.0</v>
      </c>
      <c r="G3" s="4">
        <v>192.0</v>
      </c>
      <c r="H3" s="4">
        <v>192.0</v>
      </c>
      <c r="I3" s="4">
        <v>192.0</v>
      </c>
    </row>
    <row r="4">
      <c r="A4" s="3" t="s">
        <v>10</v>
      </c>
      <c r="B4" s="3" t="s">
        <v>11</v>
      </c>
      <c r="C4" s="3" t="s">
        <v>13</v>
      </c>
      <c r="D4" s="5">
        <v>0.3206</v>
      </c>
      <c r="E4" s="5">
        <v>0.3206</v>
      </c>
      <c r="F4" s="5">
        <v>0.3206</v>
      </c>
      <c r="G4" s="5">
        <v>0.3206</v>
      </c>
      <c r="H4" s="5">
        <v>0.3206</v>
      </c>
      <c r="I4" s="5">
        <v>0.3206</v>
      </c>
    </row>
    <row r="5">
      <c r="A5" s="3" t="s">
        <v>10</v>
      </c>
      <c r="B5" s="3" t="s">
        <v>11</v>
      </c>
      <c r="C5" s="3" t="s">
        <v>14</v>
      </c>
      <c r="D5" s="6">
        <v>14760.0</v>
      </c>
      <c r="E5" s="6">
        <v>14760.0</v>
      </c>
      <c r="F5" s="6">
        <v>14760.0</v>
      </c>
      <c r="G5" s="6">
        <v>14760.0</v>
      </c>
      <c r="H5" s="6">
        <v>14760.0</v>
      </c>
      <c r="I5" s="6">
        <v>14760.0</v>
      </c>
    </row>
    <row r="6">
      <c r="A6" s="3" t="s">
        <v>10</v>
      </c>
      <c r="B6" s="3" t="s">
        <v>15</v>
      </c>
      <c r="C6" s="3" t="s">
        <v>12</v>
      </c>
      <c r="D6" s="4">
        <v>214.0</v>
      </c>
      <c r="E6" s="4">
        <v>214.0</v>
      </c>
      <c r="F6" s="4">
        <v>214.0</v>
      </c>
      <c r="G6" s="4">
        <v>214.0</v>
      </c>
      <c r="H6" s="4">
        <v>214.0</v>
      </c>
      <c r="I6" s="4">
        <v>214.0</v>
      </c>
    </row>
    <row r="7">
      <c r="A7" s="3" t="s">
        <v>10</v>
      </c>
      <c r="B7" s="3" t="s">
        <v>15</v>
      </c>
      <c r="C7" s="3" t="s">
        <v>13</v>
      </c>
      <c r="D7" s="5">
        <v>0.3562</v>
      </c>
      <c r="E7" s="5">
        <v>0.3562</v>
      </c>
      <c r="F7" s="5">
        <v>0.3562</v>
      </c>
      <c r="G7" s="5">
        <v>0.3562</v>
      </c>
      <c r="H7" s="5">
        <v>0.3562</v>
      </c>
      <c r="I7" s="5">
        <v>0.3562</v>
      </c>
    </row>
    <row r="8">
      <c r="A8" s="3" t="s">
        <v>10</v>
      </c>
      <c r="B8" s="3" t="s">
        <v>15</v>
      </c>
      <c r="C8" s="3" t="s">
        <v>14</v>
      </c>
      <c r="D8" s="6">
        <v>14760.0</v>
      </c>
      <c r="E8" s="6">
        <v>14760.0</v>
      </c>
      <c r="F8" s="6">
        <v>14760.0</v>
      </c>
      <c r="G8" s="6">
        <v>14760.0</v>
      </c>
      <c r="H8" s="6">
        <v>14760.0</v>
      </c>
      <c r="I8" s="6">
        <v>14760.0</v>
      </c>
    </row>
    <row r="9">
      <c r="A9" s="3" t="s">
        <v>10</v>
      </c>
      <c r="B9" s="3" t="s">
        <v>16</v>
      </c>
      <c r="C9" s="3" t="s">
        <v>12</v>
      </c>
      <c r="D9" s="4">
        <v>235.0</v>
      </c>
      <c r="E9" s="4">
        <v>235.0</v>
      </c>
      <c r="F9" s="4">
        <v>235.0</v>
      </c>
      <c r="G9" s="4">
        <v>235.0</v>
      </c>
      <c r="H9" s="4">
        <v>235.0</v>
      </c>
      <c r="I9" s="4">
        <v>235.0</v>
      </c>
    </row>
    <row r="10">
      <c r="A10" s="3" t="s">
        <v>10</v>
      </c>
      <c r="B10" s="3" t="s">
        <v>16</v>
      </c>
      <c r="C10" s="3" t="s">
        <v>13</v>
      </c>
      <c r="D10" s="5">
        <v>0.3919</v>
      </c>
      <c r="E10" s="5">
        <v>0.3919</v>
      </c>
      <c r="F10" s="5">
        <v>0.3919</v>
      </c>
      <c r="G10" s="5">
        <v>0.3919</v>
      </c>
      <c r="H10" s="5">
        <v>0.3919</v>
      </c>
      <c r="I10" s="5">
        <v>0.3919</v>
      </c>
    </row>
    <row r="11">
      <c r="A11" s="3" t="s">
        <v>10</v>
      </c>
      <c r="B11" s="3" t="s">
        <v>16</v>
      </c>
      <c r="C11" s="3" t="s">
        <v>14</v>
      </c>
      <c r="D11" s="6">
        <v>14760.0</v>
      </c>
      <c r="E11" s="6">
        <v>14760.0</v>
      </c>
      <c r="F11" s="6">
        <v>14760.0</v>
      </c>
      <c r="G11" s="6">
        <v>14760.0</v>
      </c>
      <c r="H11" s="6">
        <v>14760.0</v>
      </c>
      <c r="I11" s="6">
        <v>14760.0</v>
      </c>
    </row>
    <row r="12">
      <c r="A12" s="3" t="s">
        <v>17</v>
      </c>
      <c r="B12" s="3" t="s">
        <v>11</v>
      </c>
      <c r="C12" s="3" t="s">
        <v>12</v>
      </c>
      <c r="D12" s="4">
        <v>146.0</v>
      </c>
      <c r="E12" s="4">
        <v>146.0</v>
      </c>
      <c r="F12" s="4">
        <v>146.0</v>
      </c>
      <c r="G12" s="4">
        <v>146.0</v>
      </c>
      <c r="H12" s="4">
        <v>146.0</v>
      </c>
      <c r="I12" s="4">
        <v>146.0</v>
      </c>
    </row>
    <row r="13">
      <c r="A13" s="3" t="s">
        <v>17</v>
      </c>
      <c r="B13" s="3" t="s">
        <v>11</v>
      </c>
      <c r="C13" s="3" t="s">
        <v>13</v>
      </c>
      <c r="D13" s="5">
        <v>0.2666</v>
      </c>
      <c r="E13" s="5">
        <v>0.2666</v>
      </c>
      <c r="F13" s="5">
        <v>0.2666</v>
      </c>
      <c r="G13" s="5">
        <v>0.2666</v>
      </c>
      <c r="H13" s="5">
        <v>0.2666</v>
      </c>
      <c r="I13" s="5">
        <v>0.2666</v>
      </c>
    </row>
    <row r="14">
      <c r="A14" s="3" t="s">
        <v>17</v>
      </c>
      <c r="B14" s="3" t="s">
        <v>11</v>
      </c>
      <c r="C14" s="3" t="s">
        <v>14</v>
      </c>
      <c r="D14" s="6">
        <v>14278.0</v>
      </c>
      <c r="E14" s="6">
        <v>14278.0</v>
      </c>
      <c r="F14" s="6">
        <v>14278.0</v>
      </c>
      <c r="G14" s="6">
        <v>14278.0</v>
      </c>
      <c r="H14" s="6">
        <v>14278.0</v>
      </c>
      <c r="I14" s="6">
        <v>14278.0</v>
      </c>
    </row>
    <row r="15">
      <c r="A15" s="3" t="s">
        <v>17</v>
      </c>
      <c r="B15" s="3" t="s">
        <v>15</v>
      </c>
      <c r="C15" s="3" t="s">
        <v>12</v>
      </c>
      <c r="D15" s="4">
        <v>162.0</v>
      </c>
      <c r="E15" s="4">
        <v>162.0</v>
      </c>
      <c r="F15" s="4">
        <v>162.0</v>
      </c>
      <c r="G15" s="4">
        <v>162.0</v>
      </c>
      <c r="H15" s="4">
        <v>162.0</v>
      </c>
      <c r="I15" s="4">
        <v>162.0</v>
      </c>
    </row>
    <row r="16">
      <c r="A16" s="3" t="s">
        <v>17</v>
      </c>
      <c r="B16" s="3" t="s">
        <v>15</v>
      </c>
      <c r="C16" s="3" t="s">
        <v>13</v>
      </c>
      <c r="D16" s="5">
        <v>0.2962</v>
      </c>
      <c r="E16" s="5">
        <v>0.2962</v>
      </c>
      <c r="F16" s="5">
        <v>0.2962</v>
      </c>
      <c r="G16" s="5">
        <v>0.2962</v>
      </c>
      <c r="H16" s="5">
        <v>0.2962</v>
      </c>
      <c r="I16" s="5">
        <v>0.2962</v>
      </c>
    </row>
    <row r="17">
      <c r="A17" s="3" t="s">
        <v>17</v>
      </c>
      <c r="B17" s="3" t="s">
        <v>15</v>
      </c>
      <c r="C17" s="3" t="s">
        <v>14</v>
      </c>
      <c r="D17" s="6">
        <v>14278.0</v>
      </c>
      <c r="E17" s="6">
        <v>14278.0</v>
      </c>
      <c r="F17" s="6">
        <v>14278.0</v>
      </c>
      <c r="G17" s="6">
        <v>14278.0</v>
      </c>
      <c r="H17" s="6">
        <v>14278.0</v>
      </c>
      <c r="I17" s="6">
        <v>14278.0</v>
      </c>
    </row>
    <row r="18">
      <c r="A18" s="3" t="s">
        <v>17</v>
      </c>
      <c r="B18" s="3" t="s">
        <v>16</v>
      </c>
      <c r="C18" s="3" t="s">
        <v>12</v>
      </c>
      <c r="D18" s="4">
        <v>179.0</v>
      </c>
      <c r="E18" s="4">
        <v>179.0</v>
      </c>
      <c r="F18" s="4">
        <v>179.0</v>
      </c>
      <c r="G18" s="4">
        <v>179.0</v>
      </c>
      <c r="H18" s="4">
        <v>179.0</v>
      </c>
      <c r="I18" s="4">
        <v>179.0</v>
      </c>
    </row>
    <row r="19">
      <c r="A19" s="3" t="s">
        <v>17</v>
      </c>
      <c r="B19" s="3" t="s">
        <v>16</v>
      </c>
      <c r="C19" s="3" t="s">
        <v>13</v>
      </c>
      <c r="D19" s="5">
        <v>0.3258</v>
      </c>
      <c r="E19" s="5">
        <v>0.3258</v>
      </c>
      <c r="F19" s="5">
        <v>0.3258</v>
      </c>
      <c r="G19" s="5">
        <v>0.3258</v>
      </c>
      <c r="H19" s="5">
        <v>0.3258</v>
      </c>
      <c r="I19" s="5">
        <v>0.3258</v>
      </c>
    </row>
    <row r="20">
      <c r="A20" s="3" t="s">
        <v>17</v>
      </c>
      <c r="B20" s="3" t="s">
        <v>16</v>
      </c>
      <c r="C20" s="3" t="s">
        <v>14</v>
      </c>
      <c r="D20" s="6">
        <v>14278.0</v>
      </c>
      <c r="E20" s="6">
        <v>14278.0</v>
      </c>
      <c r="F20" s="6">
        <v>14278.0</v>
      </c>
      <c r="G20" s="6">
        <v>14278.0</v>
      </c>
      <c r="H20" s="6">
        <v>14278.0</v>
      </c>
      <c r="I20" s="6">
        <v>14278.0</v>
      </c>
    </row>
    <row r="21" ht="15.75" customHeight="1">
      <c r="A21" s="3" t="s">
        <v>18</v>
      </c>
      <c r="B21" s="3" t="s">
        <v>11</v>
      </c>
      <c r="C21" s="3" t="s">
        <v>12</v>
      </c>
      <c r="D21" s="4">
        <v>107.0</v>
      </c>
      <c r="E21" s="4">
        <v>107.0</v>
      </c>
      <c r="F21" s="4">
        <v>107.0</v>
      </c>
      <c r="G21" s="4">
        <v>107.0</v>
      </c>
      <c r="H21" s="4">
        <v>107.0</v>
      </c>
      <c r="I21" s="4">
        <v>107.0</v>
      </c>
    </row>
    <row r="22" ht="15.75" customHeight="1">
      <c r="A22" s="3" t="s">
        <v>18</v>
      </c>
      <c r="B22" s="3" t="s">
        <v>11</v>
      </c>
      <c r="C22" s="3" t="s">
        <v>13</v>
      </c>
      <c r="D22" s="5">
        <v>0.3168</v>
      </c>
      <c r="E22" s="5">
        <v>0.3168</v>
      </c>
      <c r="F22" s="5">
        <v>0.3168</v>
      </c>
      <c r="G22" s="5">
        <v>0.3168</v>
      </c>
      <c r="H22" s="5">
        <v>0.3168</v>
      </c>
      <c r="I22" s="5">
        <v>0.3168</v>
      </c>
    </row>
    <row r="23" ht="15.75" customHeight="1">
      <c r="A23" s="3" t="s">
        <v>18</v>
      </c>
      <c r="B23" s="3" t="s">
        <v>11</v>
      </c>
      <c r="C23" s="3" t="s">
        <v>14</v>
      </c>
      <c r="D23" s="6">
        <v>15922.0</v>
      </c>
      <c r="E23" s="6">
        <v>15922.0</v>
      </c>
      <c r="F23" s="6">
        <v>15922.0</v>
      </c>
      <c r="G23" s="6">
        <v>15922.0</v>
      </c>
      <c r="H23" s="6">
        <v>15922.0</v>
      </c>
      <c r="I23" s="6">
        <v>15922.0</v>
      </c>
    </row>
    <row r="24" ht="15.75" customHeight="1">
      <c r="A24" s="3" t="s">
        <v>18</v>
      </c>
      <c r="B24" s="3" t="s">
        <v>15</v>
      </c>
      <c r="C24" s="3" t="s">
        <v>12</v>
      </c>
      <c r="D24" s="4">
        <v>119.0</v>
      </c>
      <c r="E24" s="4">
        <v>119.0</v>
      </c>
      <c r="F24" s="4">
        <v>119.0</v>
      </c>
      <c r="G24" s="4">
        <v>119.0</v>
      </c>
      <c r="H24" s="4">
        <v>119.0</v>
      </c>
      <c r="I24" s="4">
        <v>119.0</v>
      </c>
    </row>
    <row r="25" ht="15.75" customHeight="1">
      <c r="A25" s="3" t="s">
        <v>18</v>
      </c>
      <c r="B25" s="3" t="s">
        <v>15</v>
      </c>
      <c r="C25" s="3" t="s">
        <v>13</v>
      </c>
      <c r="D25" s="5">
        <v>0.352</v>
      </c>
      <c r="E25" s="5">
        <v>0.352</v>
      </c>
      <c r="F25" s="5">
        <v>0.352</v>
      </c>
      <c r="G25" s="5">
        <v>0.352</v>
      </c>
      <c r="H25" s="5">
        <v>0.352</v>
      </c>
      <c r="I25" s="5">
        <v>0.352</v>
      </c>
    </row>
    <row r="26" ht="15.75" customHeight="1">
      <c r="A26" s="3" t="s">
        <v>18</v>
      </c>
      <c r="B26" s="3" t="s">
        <v>15</v>
      </c>
      <c r="C26" s="3" t="s">
        <v>14</v>
      </c>
      <c r="D26" s="6">
        <v>15922.0</v>
      </c>
      <c r="E26" s="6">
        <v>15922.0</v>
      </c>
      <c r="F26" s="6">
        <v>15922.0</v>
      </c>
      <c r="G26" s="6">
        <v>15922.0</v>
      </c>
      <c r="H26" s="6">
        <v>15922.0</v>
      </c>
      <c r="I26" s="6">
        <v>15922.0</v>
      </c>
    </row>
    <row r="27" ht="15.75" customHeight="1">
      <c r="A27" s="3" t="s">
        <v>18</v>
      </c>
      <c r="B27" s="3" t="s">
        <v>16</v>
      </c>
      <c r="C27" s="3" t="s">
        <v>12</v>
      </c>
      <c r="D27" s="4">
        <v>131.0</v>
      </c>
      <c r="E27" s="4">
        <v>131.0</v>
      </c>
      <c r="F27" s="4">
        <v>131.0</v>
      </c>
      <c r="G27" s="4">
        <v>131.0</v>
      </c>
      <c r="H27" s="4">
        <v>131.0</v>
      </c>
      <c r="I27" s="4">
        <v>131.0</v>
      </c>
    </row>
    <row r="28" ht="15.75" customHeight="1">
      <c r="A28" s="3" t="s">
        <v>18</v>
      </c>
      <c r="B28" s="3" t="s">
        <v>16</v>
      </c>
      <c r="C28" s="3" t="s">
        <v>13</v>
      </c>
      <c r="D28" s="5">
        <v>0.3872</v>
      </c>
      <c r="E28" s="5">
        <v>0.3872</v>
      </c>
      <c r="F28" s="5">
        <v>0.3872</v>
      </c>
      <c r="G28" s="5">
        <v>0.3872</v>
      </c>
      <c r="H28" s="5">
        <v>0.3872</v>
      </c>
      <c r="I28" s="5">
        <v>0.3872</v>
      </c>
    </row>
    <row r="29" ht="15.75" customHeight="1">
      <c r="A29" s="3" t="s">
        <v>18</v>
      </c>
      <c r="B29" s="3" t="s">
        <v>16</v>
      </c>
      <c r="C29" s="3" t="s">
        <v>14</v>
      </c>
      <c r="D29" s="6">
        <v>15922.0</v>
      </c>
      <c r="E29" s="6">
        <v>15922.0</v>
      </c>
      <c r="F29" s="6">
        <v>15922.0</v>
      </c>
      <c r="G29" s="6">
        <v>15922.0</v>
      </c>
      <c r="H29" s="6">
        <v>15922.0</v>
      </c>
      <c r="I29" s="6">
        <v>15922.0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2.0"/>
    <col customWidth="1" min="3" max="3" width="18.0"/>
    <col customWidth="1" min="4" max="9" width="14.0"/>
    <col customWidth="1" min="10" max="26" width="8.71"/>
  </cols>
  <sheetData>
    <row r="1" ht="24.75" customHeight="1">
      <c r="A1" s="1" t="s">
        <v>19</v>
      </c>
    </row>
    <row r="2" ht="24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>
      <c r="A3" s="3" t="s">
        <v>10</v>
      </c>
      <c r="B3" s="3" t="s">
        <v>11</v>
      </c>
      <c r="C3" s="3" t="s">
        <v>20</v>
      </c>
      <c r="D3" s="7">
        <f>Inputs!D3*Inputs!D4*Inputs!D5</f>
        <v>908554.752</v>
      </c>
      <c r="E3" s="7">
        <f>Inputs!E3*Inputs!E4*Inputs!E5</f>
        <v>908554.752</v>
      </c>
      <c r="F3" s="7">
        <f>Inputs!F3*Inputs!F4*Inputs!F5</f>
        <v>908554.752</v>
      </c>
      <c r="G3" s="7">
        <f>Inputs!G3*Inputs!G4*Inputs!G5</f>
        <v>908554.752</v>
      </c>
      <c r="H3" s="7">
        <f>Inputs!H3*Inputs!H4*Inputs!H5</f>
        <v>908554.752</v>
      </c>
      <c r="I3" s="7">
        <f>Inputs!I3*Inputs!I4*Inputs!I5</f>
        <v>908554.752</v>
      </c>
    </row>
    <row r="4">
      <c r="A4" s="3" t="s">
        <v>10</v>
      </c>
      <c r="B4" s="3" t="s">
        <v>11</v>
      </c>
      <c r="C4" s="3" t="s">
        <v>21</v>
      </c>
      <c r="D4" s="8">
        <f t="shared" ref="D4:I4" si="1">D3*0.237</f>
        <v>215327.4762</v>
      </c>
      <c r="E4" s="8">
        <f t="shared" si="1"/>
        <v>215327.4762</v>
      </c>
      <c r="F4" s="8">
        <f t="shared" si="1"/>
        <v>215327.4762</v>
      </c>
      <c r="G4" s="8">
        <f t="shared" si="1"/>
        <v>215327.4762</v>
      </c>
      <c r="H4" s="8">
        <f t="shared" si="1"/>
        <v>215327.4762</v>
      </c>
      <c r="I4" s="8">
        <f t="shared" si="1"/>
        <v>215327.4762</v>
      </c>
    </row>
    <row r="5">
      <c r="A5" s="3" t="s">
        <v>10</v>
      </c>
      <c r="B5" s="3" t="s">
        <v>15</v>
      </c>
      <c r="C5" s="3" t="s">
        <v>20</v>
      </c>
      <c r="D5" s="7">
        <f>Inputs!D6*Inputs!D7*Inputs!D8</f>
        <v>1125107.568</v>
      </c>
      <c r="E5" s="7">
        <f>Inputs!E6*Inputs!E7*Inputs!E8</f>
        <v>1125107.568</v>
      </c>
      <c r="F5" s="7">
        <f>Inputs!F6*Inputs!F7*Inputs!F8</f>
        <v>1125107.568</v>
      </c>
      <c r="G5" s="7">
        <f>Inputs!G6*Inputs!G7*Inputs!G8</f>
        <v>1125107.568</v>
      </c>
      <c r="H5" s="7">
        <f>Inputs!H6*Inputs!H7*Inputs!H8</f>
        <v>1125107.568</v>
      </c>
      <c r="I5" s="7">
        <f>Inputs!I6*Inputs!I7*Inputs!I8</f>
        <v>1125107.568</v>
      </c>
    </row>
    <row r="6">
      <c r="A6" s="3" t="s">
        <v>10</v>
      </c>
      <c r="B6" s="3" t="s">
        <v>15</v>
      </c>
      <c r="C6" s="3" t="s">
        <v>21</v>
      </c>
      <c r="D6" s="8">
        <f t="shared" ref="D6:I6" si="2">D5*0.237</f>
        <v>266650.4936</v>
      </c>
      <c r="E6" s="8">
        <f t="shared" si="2"/>
        <v>266650.4936</v>
      </c>
      <c r="F6" s="8">
        <f t="shared" si="2"/>
        <v>266650.4936</v>
      </c>
      <c r="G6" s="8">
        <f t="shared" si="2"/>
        <v>266650.4936</v>
      </c>
      <c r="H6" s="8">
        <f t="shared" si="2"/>
        <v>266650.4936</v>
      </c>
      <c r="I6" s="8">
        <f t="shared" si="2"/>
        <v>266650.4936</v>
      </c>
    </row>
    <row r="7">
      <c r="A7" s="3" t="s">
        <v>10</v>
      </c>
      <c r="B7" s="3" t="s">
        <v>16</v>
      </c>
      <c r="C7" s="3" t="s">
        <v>20</v>
      </c>
      <c r="D7" s="7">
        <f>Inputs!D9*Inputs!D10*Inputs!D11</f>
        <v>1359344.34</v>
      </c>
      <c r="E7" s="7">
        <f>Inputs!E9*Inputs!E10*Inputs!E11</f>
        <v>1359344.34</v>
      </c>
      <c r="F7" s="7">
        <f>Inputs!F9*Inputs!F10*Inputs!F11</f>
        <v>1359344.34</v>
      </c>
      <c r="G7" s="7">
        <f>Inputs!G9*Inputs!G10*Inputs!G11</f>
        <v>1359344.34</v>
      </c>
      <c r="H7" s="7">
        <f>Inputs!H9*Inputs!H10*Inputs!H11</f>
        <v>1359344.34</v>
      </c>
      <c r="I7" s="7">
        <f>Inputs!I9*Inputs!I10*Inputs!I11</f>
        <v>1359344.34</v>
      </c>
    </row>
    <row r="8">
      <c r="A8" s="3" t="s">
        <v>10</v>
      </c>
      <c r="B8" s="3" t="s">
        <v>16</v>
      </c>
      <c r="C8" s="3" t="s">
        <v>21</v>
      </c>
      <c r="D8" s="8">
        <f t="shared" ref="D8:I8" si="3">D7*0.237</f>
        <v>322164.6086</v>
      </c>
      <c r="E8" s="8">
        <f t="shared" si="3"/>
        <v>322164.6086</v>
      </c>
      <c r="F8" s="8">
        <f t="shared" si="3"/>
        <v>322164.6086</v>
      </c>
      <c r="G8" s="8">
        <f t="shared" si="3"/>
        <v>322164.6086</v>
      </c>
      <c r="H8" s="8">
        <f t="shared" si="3"/>
        <v>322164.6086</v>
      </c>
      <c r="I8" s="8">
        <f t="shared" si="3"/>
        <v>322164.6086</v>
      </c>
    </row>
    <row r="9">
      <c r="A9" s="3" t="s">
        <v>17</v>
      </c>
      <c r="B9" s="3" t="s">
        <v>11</v>
      </c>
      <c r="C9" s="3" t="s">
        <v>20</v>
      </c>
      <c r="D9" s="7">
        <f>Inputs!D12*Inputs!D13*Inputs!D14</f>
        <v>555751.1608</v>
      </c>
      <c r="E9" s="7">
        <f>Inputs!E12*Inputs!E13*Inputs!E14</f>
        <v>555751.1608</v>
      </c>
      <c r="F9" s="7">
        <f>Inputs!F12*Inputs!F13*Inputs!F14</f>
        <v>555751.1608</v>
      </c>
      <c r="G9" s="7">
        <f>Inputs!G12*Inputs!G13*Inputs!G14</f>
        <v>555751.1608</v>
      </c>
      <c r="H9" s="7">
        <f>Inputs!H12*Inputs!H13*Inputs!H14</f>
        <v>555751.1608</v>
      </c>
      <c r="I9" s="7">
        <f>Inputs!I12*Inputs!I13*Inputs!I14</f>
        <v>555751.1608</v>
      </c>
    </row>
    <row r="10">
      <c r="A10" s="3" t="s">
        <v>17</v>
      </c>
      <c r="B10" s="3" t="s">
        <v>11</v>
      </c>
      <c r="C10" s="3" t="s">
        <v>21</v>
      </c>
      <c r="D10" s="8">
        <f t="shared" ref="D10:I10" si="4">D9*0.237</f>
        <v>131713.0251</v>
      </c>
      <c r="E10" s="8">
        <f t="shared" si="4"/>
        <v>131713.0251</v>
      </c>
      <c r="F10" s="8">
        <f t="shared" si="4"/>
        <v>131713.0251</v>
      </c>
      <c r="G10" s="8">
        <f t="shared" si="4"/>
        <v>131713.0251</v>
      </c>
      <c r="H10" s="8">
        <f t="shared" si="4"/>
        <v>131713.0251</v>
      </c>
      <c r="I10" s="8">
        <f t="shared" si="4"/>
        <v>131713.0251</v>
      </c>
    </row>
    <row r="11">
      <c r="A11" s="3" t="s">
        <v>17</v>
      </c>
      <c r="B11" s="3" t="s">
        <v>15</v>
      </c>
      <c r="C11" s="3" t="s">
        <v>20</v>
      </c>
      <c r="D11" s="7">
        <f>Inputs!D15*Inputs!D16*Inputs!D17</f>
        <v>685121.2632</v>
      </c>
      <c r="E11" s="7">
        <f>Inputs!E15*Inputs!E16*Inputs!E17</f>
        <v>685121.2632</v>
      </c>
      <c r="F11" s="7">
        <f>Inputs!F15*Inputs!F16*Inputs!F17</f>
        <v>685121.2632</v>
      </c>
      <c r="G11" s="7">
        <f>Inputs!G15*Inputs!G16*Inputs!G17</f>
        <v>685121.2632</v>
      </c>
      <c r="H11" s="7">
        <f>Inputs!H15*Inputs!H16*Inputs!H17</f>
        <v>685121.2632</v>
      </c>
      <c r="I11" s="7">
        <f>Inputs!I15*Inputs!I16*Inputs!I17</f>
        <v>685121.2632</v>
      </c>
    </row>
    <row r="12">
      <c r="A12" s="3" t="s">
        <v>17</v>
      </c>
      <c r="B12" s="3" t="s">
        <v>15</v>
      </c>
      <c r="C12" s="3" t="s">
        <v>21</v>
      </c>
      <c r="D12" s="8">
        <f t="shared" ref="D12:I12" si="5">D11*0.237</f>
        <v>162373.7394</v>
      </c>
      <c r="E12" s="8">
        <f t="shared" si="5"/>
        <v>162373.7394</v>
      </c>
      <c r="F12" s="8">
        <f t="shared" si="5"/>
        <v>162373.7394</v>
      </c>
      <c r="G12" s="8">
        <f t="shared" si="5"/>
        <v>162373.7394</v>
      </c>
      <c r="H12" s="8">
        <f t="shared" si="5"/>
        <v>162373.7394</v>
      </c>
      <c r="I12" s="8">
        <f t="shared" si="5"/>
        <v>162373.7394</v>
      </c>
    </row>
    <row r="13">
      <c r="A13" s="3" t="s">
        <v>17</v>
      </c>
      <c r="B13" s="3" t="s">
        <v>16</v>
      </c>
      <c r="C13" s="3" t="s">
        <v>20</v>
      </c>
      <c r="D13" s="7">
        <f>Inputs!D18*Inputs!D19*Inputs!D20</f>
        <v>832667.2596</v>
      </c>
      <c r="E13" s="7">
        <f>Inputs!E18*Inputs!E19*Inputs!E20</f>
        <v>832667.2596</v>
      </c>
      <c r="F13" s="7">
        <f>Inputs!F18*Inputs!F19*Inputs!F20</f>
        <v>832667.2596</v>
      </c>
      <c r="G13" s="7">
        <f>Inputs!G18*Inputs!G19*Inputs!G20</f>
        <v>832667.2596</v>
      </c>
      <c r="H13" s="7">
        <f>Inputs!H18*Inputs!H19*Inputs!H20</f>
        <v>832667.2596</v>
      </c>
      <c r="I13" s="7">
        <f>Inputs!I18*Inputs!I19*Inputs!I20</f>
        <v>832667.2596</v>
      </c>
    </row>
    <row r="14">
      <c r="A14" s="3" t="s">
        <v>17</v>
      </c>
      <c r="B14" s="3" t="s">
        <v>16</v>
      </c>
      <c r="C14" s="3" t="s">
        <v>21</v>
      </c>
      <c r="D14" s="8">
        <f t="shared" ref="D14:I14" si="6">D13*0.237</f>
        <v>197342.1405</v>
      </c>
      <c r="E14" s="8">
        <f t="shared" si="6"/>
        <v>197342.1405</v>
      </c>
      <c r="F14" s="8">
        <f t="shared" si="6"/>
        <v>197342.1405</v>
      </c>
      <c r="G14" s="8">
        <f t="shared" si="6"/>
        <v>197342.1405</v>
      </c>
      <c r="H14" s="8">
        <f t="shared" si="6"/>
        <v>197342.1405</v>
      </c>
      <c r="I14" s="8">
        <f t="shared" si="6"/>
        <v>197342.1405</v>
      </c>
    </row>
    <row r="15">
      <c r="A15" s="3" t="s">
        <v>18</v>
      </c>
      <c r="B15" s="3" t="s">
        <v>11</v>
      </c>
      <c r="C15" s="3" t="s">
        <v>20</v>
      </c>
      <c r="D15" s="7">
        <f>Inputs!D21*Inputs!D22*Inputs!D23</f>
        <v>539717.5872</v>
      </c>
      <c r="E15" s="7">
        <f>Inputs!E21*Inputs!E22*Inputs!E23</f>
        <v>539717.5872</v>
      </c>
      <c r="F15" s="7">
        <f>Inputs!F21*Inputs!F22*Inputs!F23</f>
        <v>539717.5872</v>
      </c>
      <c r="G15" s="7">
        <f>Inputs!G21*Inputs!G22*Inputs!G23</f>
        <v>539717.5872</v>
      </c>
      <c r="H15" s="7">
        <f>Inputs!H21*Inputs!H22*Inputs!H23</f>
        <v>539717.5872</v>
      </c>
      <c r="I15" s="7">
        <f>Inputs!I21*Inputs!I22*Inputs!I23</f>
        <v>539717.5872</v>
      </c>
    </row>
    <row r="16">
      <c r="A16" s="3" t="s">
        <v>18</v>
      </c>
      <c r="B16" s="3" t="s">
        <v>11</v>
      </c>
      <c r="C16" s="3" t="s">
        <v>21</v>
      </c>
      <c r="D16" s="8">
        <f t="shared" ref="D16:I16" si="7">D15*0.237</f>
        <v>127913.0682</v>
      </c>
      <c r="E16" s="8">
        <f t="shared" si="7"/>
        <v>127913.0682</v>
      </c>
      <c r="F16" s="8">
        <f t="shared" si="7"/>
        <v>127913.0682</v>
      </c>
      <c r="G16" s="8">
        <f t="shared" si="7"/>
        <v>127913.0682</v>
      </c>
      <c r="H16" s="8">
        <f t="shared" si="7"/>
        <v>127913.0682</v>
      </c>
      <c r="I16" s="8">
        <f t="shared" si="7"/>
        <v>127913.0682</v>
      </c>
    </row>
    <row r="17">
      <c r="A17" s="3" t="s">
        <v>18</v>
      </c>
      <c r="B17" s="3" t="s">
        <v>15</v>
      </c>
      <c r="C17" s="3" t="s">
        <v>20</v>
      </c>
      <c r="D17" s="7">
        <f>Inputs!D24*Inputs!D25*Inputs!D26</f>
        <v>666940.736</v>
      </c>
      <c r="E17" s="7">
        <f>Inputs!E24*Inputs!E25*Inputs!E26</f>
        <v>666940.736</v>
      </c>
      <c r="F17" s="7">
        <f>Inputs!F24*Inputs!F25*Inputs!F26</f>
        <v>666940.736</v>
      </c>
      <c r="G17" s="7">
        <f>Inputs!G24*Inputs!G25*Inputs!G26</f>
        <v>666940.736</v>
      </c>
      <c r="H17" s="7">
        <f>Inputs!H24*Inputs!H25*Inputs!H26</f>
        <v>666940.736</v>
      </c>
      <c r="I17" s="7">
        <f>Inputs!I24*Inputs!I25*Inputs!I26</f>
        <v>666940.736</v>
      </c>
    </row>
    <row r="18">
      <c r="A18" s="3" t="s">
        <v>18</v>
      </c>
      <c r="B18" s="3" t="s">
        <v>15</v>
      </c>
      <c r="C18" s="3" t="s">
        <v>21</v>
      </c>
      <c r="D18" s="8">
        <f t="shared" ref="D18:I18" si="8">D17*0.237</f>
        <v>158064.9544</v>
      </c>
      <c r="E18" s="8">
        <f t="shared" si="8"/>
        <v>158064.9544</v>
      </c>
      <c r="F18" s="8">
        <f t="shared" si="8"/>
        <v>158064.9544</v>
      </c>
      <c r="G18" s="8">
        <f t="shared" si="8"/>
        <v>158064.9544</v>
      </c>
      <c r="H18" s="8">
        <f t="shared" si="8"/>
        <v>158064.9544</v>
      </c>
      <c r="I18" s="8">
        <f t="shared" si="8"/>
        <v>158064.9544</v>
      </c>
    </row>
    <row r="19">
      <c r="A19" s="3" t="s">
        <v>18</v>
      </c>
      <c r="B19" s="3" t="s">
        <v>16</v>
      </c>
      <c r="C19" s="3" t="s">
        <v>20</v>
      </c>
      <c r="D19" s="7">
        <f>Inputs!D27*Inputs!D28*Inputs!D29</f>
        <v>807614.7904</v>
      </c>
      <c r="E19" s="7">
        <f>Inputs!E27*Inputs!E28*Inputs!E29</f>
        <v>807614.7904</v>
      </c>
      <c r="F19" s="7">
        <f>Inputs!F27*Inputs!F28*Inputs!F29</f>
        <v>807614.7904</v>
      </c>
      <c r="G19" s="7">
        <f>Inputs!G27*Inputs!G28*Inputs!G29</f>
        <v>807614.7904</v>
      </c>
      <c r="H19" s="7">
        <f>Inputs!H27*Inputs!H28*Inputs!H29</f>
        <v>807614.7904</v>
      </c>
      <c r="I19" s="7">
        <f>Inputs!I27*Inputs!I28*Inputs!I29</f>
        <v>807614.7904</v>
      </c>
    </row>
    <row r="20">
      <c r="A20" s="3" t="s">
        <v>18</v>
      </c>
      <c r="B20" s="3" t="s">
        <v>16</v>
      </c>
      <c r="C20" s="3" t="s">
        <v>21</v>
      </c>
      <c r="D20" s="8">
        <f t="shared" ref="D20:I20" si="9">D19*0.237</f>
        <v>191404.7053</v>
      </c>
      <c r="E20" s="8">
        <f t="shared" si="9"/>
        <v>191404.7053</v>
      </c>
      <c r="F20" s="8">
        <f t="shared" si="9"/>
        <v>191404.7053</v>
      </c>
      <c r="G20" s="8">
        <f t="shared" si="9"/>
        <v>191404.7053</v>
      </c>
      <c r="H20" s="8">
        <f t="shared" si="9"/>
        <v>191404.7053</v>
      </c>
      <c r="I20" s="8">
        <f t="shared" si="9"/>
        <v>191404.7053</v>
      </c>
    </row>
    <row r="21" ht="15.75" customHeight="1">
      <c r="A21" s="1" t="s">
        <v>22</v>
      </c>
      <c r="B21" s="9" t="s">
        <v>11</v>
      </c>
      <c r="C21" s="9" t="s">
        <v>23</v>
      </c>
      <c r="D21" s="10">
        <f t="shared" ref="D21:I21" si="10">D3+D9+D15</f>
        <v>2004023.5</v>
      </c>
      <c r="E21" s="10">
        <f t="shared" si="10"/>
        <v>2004023.5</v>
      </c>
      <c r="F21" s="10">
        <f t="shared" si="10"/>
        <v>2004023.5</v>
      </c>
      <c r="G21" s="10">
        <f t="shared" si="10"/>
        <v>2004023.5</v>
      </c>
      <c r="H21" s="10">
        <f t="shared" si="10"/>
        <v>2004023.5</v>
      </c>
      <c r="I21" s="10">
        <f t="shared" si="10"/>
        <v>2004023.5</v>
      </c>
    </row>
    <row r="22" ht="15.75" customHeight="1">
      <c r="A22" s="1" t="s">
        <v>22</v>
      </c>
      <c r="B22" s="9" t="s">
        <v>15</v>
      </c>
      <c r="C22" s="9" t="s">
        <v>23</v>
      </c>
      <c r="D22" s="10">
        <f t="shared" ref="D22:I22" si="11">D5+D11+D17</f>
        <v>2477169.567</v>
      </c>
      <c r="E22" s="10">
        <f t="shared" si="11"/>
        <v>2477169.567</v>
      </c>
      <c r="F22" s="10">
        <f t="shared" si="11"/>
        <v>2477169.567</v>
      </c>
      <c r="G22" s="10">
        <f t="shared" si="11"/>
        <v>2477169.567</v>
      </c>
      <c r="H22" s="10">
        <f t="shared" si="11"/>
        <v>2477169.567</v>
      </c>
      <c r="I22" s="10">
        <f t="shared" si="11"/>
        <v>2477169.567</v>
      </c>
    </row>
    <row r="23" ht="15.75" customHeight="1">
      <c r="A23" s="1" t="s">
        <v>22</v>
      </c>
      <c r="B23" s="9" t="s">
        <v>16</v>
      </c>
      <c r="C23" s="9" t="s">
        <v>23</v>
      </c>
      <c r="D23" s="10">
        <f t="shared" ref="D23:I23" si="12">D7+D13+D19</f>
        <v>2999626.39</v>
      </c>
      <c r="E23" s="10">
        <f t="shared" si="12"/>
        <v>2999626.39</v>
      </c>
      <c r="F23" s="10">
        <f t="shared" si="12"/>
        <v>2999626.39</v>
      </c>
      <c r="G23" s="10">
        <f t="shared" si="12"/>
        <v>2999626.39</v>
      </c>
      <c r="H23" s="10">
        <f t="shared" si="12"/>
        <v>2999626.39</v>
      </c>
      <c r="I23" s="10">
        <f t="shared" si="12"/>
        <v>2999626.39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7" width="16.0"/>
    <col customWidth="1" min="8" max="26" width="8.71"/>
  </cols>
  <sheetData>
    <row r="1" ht="24.75" customHeight="1">
      <c r="A1" s="1" t="s">
        <v>24</v>
      </c>
    </row>
    <row r="2" ht="24.75" customHeight="1">
      <c r="A2" s="2" t="s">
        <v>25</v>
      </c>
      <c r="B2" s="2" t="s">
        <v>1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</row>
    <row r="3">
      <c r="A3" s="3" t="s">
        <v>4</v>
      </c>
      <c r="B3" s="3" t="s">
        <v>10</v>
      </c>
      <c r="C3" s="7">
        <f>Forecast!D5</f>
        <v>1125107.568</v>
      </c>
      <c r="D3" s="6"/>
      <c r="E3" s="7" t="str">
        <f t="shared" ref="E3:E20" si="1">IF(D3="","",D3-C3)</f>
        <v/>
      </c>
      <c r="F3" s="11" t="str">
        <f t="shared" ref="F3:F20" si="2">IF(D3="","",D3/C3-1)</f>
        <v/>
      </c>
      <c r="G3" s="12" t="str">
        <f t="shared" ref="G3:G20" si="3">IF(D3="","Pending",IF(F3&gt;=-0.05,"On Track",IF(F3&gt;=-0.15,"Watch","Off Track")))</f>
        <v>Pending</v>
      </c>
    </row>
    <row r="4">
      <c r="A4" s="3" t="s">
        <v>4</v>
      </c>
      <c r="B4" s="3" t="s">
        <v>17</v>
      </c>
      <c r="C4" s="7">
        <f>Forecast!D11</f>
        <v>685121.2632</v>
      </c>
      <c r="D4" s="6"/>
      <c r="E4" s="7" t="str">
        <f t="shared" si="1"/>
        <v/>
      </c>
      <c r="F4" s="11" t="str">
        <f t="shared" si="2"/>
        <v/>
      </c>
      <c r="G4" s="12" t="str">
        <f t="shared" si="3"/>
        <v>Pending</v>
      </c>
    </row>
    <row r="5">
      <c r="A5" s="3" t="s">
        <v>4</v>
      </c>
      <c r="B5" s="3" t="s">
        <v>18</v>
      </c>
      <c r="C5" s="7">
        <f>Forecast!D17</f>
        <v>666940.736</v>
      </c>
      <c r="D5" s="6"/>
      <c r="E5" s="7" t="str">
        <f t="shared" si="1"/>
        <v/>
      </c>
      <c r="F5" s="11" t="str">
        <f t="shared" si="2"/>
        <v/>
      </c>
      <c r="G5" s="12" t="str">
        <f t="shared" si="3"/>
        <v>Pending</v>
      </c>
    </row>
    <row r="6">
      <c r="A6" s="3" t="s">
        <v>5</v>
      </c>
      <c r="B6" s="3" t="s">
        <v>10</v>
      </c>
      <c r="C6" s="7">
        <f>Forecast!E5</f>
        <v>1125107.568</v>
      </c>
      <c r="D6" s="6"/>
      <c r="E6" s="7" t="str">
        <f t="shared" si="1"/>
        <v/>
      </c>
      <c r="F6" s="11" t="str">
        <f t="shared" si="2"/>
        <v/>
      </c>
      <c r="G6" s="12" t="str">
        <f t="shared" si="3"/>
        <v>Pending</v>
      </c>
    </row>
    <row r="7">
      <c r="A7" s="3" t="s">
        <v>5</v>
      </c>
      <c r="B7" s="3" t="s">
        <v>17</v>
      </c>
      <c r="C7" s="7">
        <f>Forecast!E11</f>
        <v>685121.2632</v>
      </c>
      <c r="D7" s="6"/>
      <c r="E7" s="7" t="str">
        <f t="shared" si="1"/>
        <v/>
      </c>
      <c r="F7" s="11" t="str">
        <f t="shared" si="2"/>
        <v/>
      </c>
      <c r="G7" s="12" t="str">
        <f t="shared" si="3"/>
        <v>Pending</v>
      </c>
    </row>
    <row r="8">
      <c r="A8" s="3" t="s">
        <v>5</v>
      </c>
      <c r="B8" s="3" t="s">
        <v>18</v>
      </c>
      <c r="C8" s="7">
        <f>Forecast!E17</f>
        <v>666940.736</v>
      </c>
      <c r="D8" s="6"/>
      <c r="E8" s="7" t="str">
        <f t="shared" si="1"/>
        <v/>
      </c>
      <c r="F8" s="11" t="str">
        <f t="shared" si="2"/>
        <v/>
      </c>
      <c r="G8" s="12" t="str">
        <f t="shared" si="3"/>
        <v>Pending</v>
      </c>
    </row>
    <row r="9">
      <c r="A9" s="3" t="s">
        <v>6</v>
      </c>
      <c r="B9" s="3" t="s">
        <v>10</v>
      </c>
      <c r="C9" s="7">
        <f>Forecast!F5</f>
        <v>1125107.568</v>
      </c>
      <c r="D9" s="6"/>
      <c r="E9" s="7" t="str">
        <f t="shared" si="1"/>
        <v/>
      </c>
      <c r="F9" s="11" t="str">
        <f t="shared" si="2"/>
        <v/>
      </c>
      <c r="G9" s="12" t="str">
        <f t="shared" si="3"/>
        <v>Pending</v>
      </c>
    </row>
    <row r="10">
      <c r="A10" s="3" t="s">
        <v>6</v>
      </c>
      <c r="B10" s="3" t="s">
        <v>17</v>
      </c>
      <c r="C10" s="7">
        <f>Forecast!F11</f>
        <v>685121.2632</v>
      </c>
      <c r="D10" s="6"/>
      <c r="E10" s="7" t="str">
        <f t="shared" si="1"/>
        <v/>
      </c>
      <c r="F10" s="11" t="str">
        <f t="shared" si="2"/>
        <v/>
      </c>
      <c r="G10" s="12" t="str">
        <f t="shared" si="3"/>
        <v>Pending</v>
      </c>
    </row>
    <row r="11">
      <c r="A11" s="3" t="s">
        <v>6</v>
      </c>
      <c r="B11" s="3" t="s">
        <v>18</v>
      </c>
      <c r="C11" s="7">
        <f>Forecast!F17</f>
        <v>666940.736</v>
      </c>
      <c r="D11" s="6"/>
      <c r="E11" s="7" t="str">
        <f t="shared" si="1"/>
        <v/>
      </c>
      <c r="F11" s="11" t="str">
        <f t="shared" si="2"/>
        <v/>
      </c>
      <c r="G11" s="12" t="str">
        <f t="shared" si="3"/>
        <v>Pending</v>
      </c>
    </row>
    <row r="12">
      <c r="A12" s="3" t="s">
        <v>7</v>
      </c>
      <c r="B12" s="3" t="s">
        <v>10</v>
      </c>
      <c r="C12" s="7">
        <f>Forecast!G5</f>
        <v>1125107.568</v>
      </c>
      <c r="D12" s="6"/>
      <c r="E12" s="7" t="str">
        <f t="shared" si="1"/>
        <v/>
      </c>
      <c r="F12" s="11" t="str">
        <f t="shared" si="2"/>
        <v/>
      </c>
      <c r="G12" s="12" t="str">
        <f t="shared" si="3"/>
        <v>Pending</v>
      </c>
    </row>
    <row r="13">
      <c r="A13" s="3" t="s">
        <v>7</v>
      </c>
      <c r="B13" s="3" t="s">
        <v>17</v>
      </c>
      <c r="C13" s="7">
        <f>Forecast!G11</f>
        <v>685121.2632</v>
      </c>
      <c r="D13" s="6"/>
      <c r="E13" s="7" t="str">
        <f t="shared" si="1"/>
        <v/>
      </c>
      <c r="F13" s="11" t="str">
        <f t="shared" si="2"/>
        <v/>
      </c>
      <c r="G13" s="12" t="str">
        <f t="shared" si="3"/>
        <v>Pending</v>
      </c>
    </row>
    <row r="14">
      <c r="A14" s="3" t="s">
        <v>7</v>
      </c>
      <c r="B14" s="3" t="s">
        <v>18</v>
      </c>
      <c r="C14" s="7">
        <f>Forecast!G17</f>
        <v>666940.736</v>
      </c>
      <c r="D14" s="6"/>
      <c r="E14" s="7" t="str">
        <f t="shared" si="1"/>
        <v/>
      </c>
      <c r="F14" s="11" t="str">
        <f t="shared" si="2"/>
        <v/>
      </c>
      <c r="G14" s="12" t="str">
        <f t="shared" si="3"/>
        <v>Pending</v>
      </c>
    </row>
    <row r="15">
      <c r="A15" s="3" t="s">
        <v>8</v>
      </c>
      <c r="B15" s="3" t="s">
        <v>10</v>
      </c>
      <c r="C15" s="7">
        <f>Forecast!H5</f>
        <v>1125107.568</v>
      </c>
      <c r="D15" s="6"/>
      <c r="E15" s="7" t="str">
        <f t="shared" si="1"/>
        <v/>
      </c>
      <c r="F15" s="11" t="str">
        <f t="shared" si="2"/>
        <v/>
      </c>
      <c r="G15" s="12" t="str">
        <f t="shared" si="3"/>
        <v>Pending</v>
      </c>
    </row>
    <row r="16">
      <c r="A16" s="3" t="s">
        <v>8</v>
      </c>
      <c r="B16" s="3" t="s">
        <v>17</v>
      </c>
      <c r="C16" s="7">
        <f>Forecast!H11</f>
        <v>685121.2632</v>
      </c>
      <c r="D16" s="6"/>
      <c r="E16" s="7" t="str">
        <f t="shared" si="1"/>
        <v/>
      </c>
      <c r="F16" s="11" t="str">
        <f t="shared" si="2"/>
        <v/>
      </c>
      <c r="G16" s="12" t="str">
        <f t="shared" si="3"/>
        <v>Pending</v>
      </c>
    </row>
    <row r="17">
      <c r="A17" s="3" t="s">
        <v>8</v>
      </c>
      <c r="B17" s="3" t="s">
        <v>18</v>
      </c>
      <c r="C17" s="7">
        <f>Forecast!H17</f>
        <v>666940.736</v>
      </c>
      <c r="D17" s="6"/>
      <c r="E17" s="7" t="str">
        <f t="shared" si="1"/>
        <v/>
      </c>
      <c r="F17" s="11" t="str">
        <f t="shared" si="2"/>
        <v/>
      </c>
      <c r="G17" s="12" t="str">
        <f t="shared" si="3"/>
        <v>Pending</v>
      </c>
    </row>
    <row r="18">
      <c r="A18" s="3" t="s">
        <v>9</v>
      </c>
      <c r="B18" s="3" t="s">
        <v>10</v>
      </c>
      <c r="C18" s="7">
        <f>Forecast!I5</f>
        <v>1125107.568</v>
      </c>
      <c r="D18" s="6"/>
      <c r="E18" s="7" t="str">
        <f t="shared" si="1"/>
        <v/>
      </c>
      <c r="F18" s="11" t="str">
        <f t="shared" si="2"/>
        <v/>
      </c>
      <c r="G18" s="12" t="str">
        <f t="shared" si="3"/>
        <v>Pending</v>
      </c>
    </row>
    <row r="19">
      <c r="A19" s="3" t="s">
        <v>9</v>
      </c>
      <c r="B19" s="3" t="s">
        <v>17</v>
      </c>
      <c r="C19" s="7">
        <f>Forecast!I11</f>
        <v>685121.2632</v>
      </c>
      <c r="D19" s="6"/>
      <c r="E19" s="7" t="str">
        <f t="shared" si="1"/>
        <v/>
      </c>
      <c r="F19" s="11" t="str">
        <f t="shared" si="2"/>
        <v/>
      </c>
      <c r="G19" s="12" t="str">
        <f t="shared" si="3"/>
        <v>Pending</v>
      </c>
    </row>
    <row r="20">
      <c r="A20" s="3" t="s">
        <v>9</v>
      </c>
      <c r="B20" s="3" t="s">
        <v>18</v>
      </c>
      <c r="C20" s="7">
        <f>Forecast!I17</f>
        <v>666940.736</v>
      </c>
      <c r="D20" s="6"/>
      <c r="E20" s="7" t="str">
        <f t="shared" si="1"/>
        <v/>
      </c>
      <c r="F20" s="11" t="str">
        <f t="shared" si="2"/>
        <v/>
      </c>
      <c r="G20" s="12" t="str">
        <f t="shared" si="3"/>
        <v>Pending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2026-05-06T00:19:34Z</dcterms:created>
  <dc:creator>openpyxl</dc:creator>
</cp:coreProperties>
</file>