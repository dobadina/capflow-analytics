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urrent State" sheetId="3" state="visible" r:id="rId3"/>
    <sheet xmlns:r="http://schemas.openxmlformats.org/officeDocument/2006/relationships" name="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£#,##0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C3E50"/>
      <sz val="10"/>
    </font>
    <font>
      <b val="1"/>
      <color rgb="002C3E50"/>
      <sz val="11"/>
    </font>
    <font>
      <i val="1"/>
      <color rgb="007F8C8D"/>
      <sz val="9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2CC"/>
        <bgColor rgb="00FFF2CC"/>
      </patternFill>
    </fill>
    <fill>
      <patternFill patternType="solid">
        <fgColor rgb="00F2F3F4"/>
        <bgColor rgb="00F2F3F4"/>
      </patternFill>
    </fill>
    <fill>
      <patternFill patternType="solid">
        <fgColor rgb="00D5F5E3"/>
        <b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center" vertical="center"/>
    </xf>
    <xf numFmtId="3" fontId="3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  <xf numFmtId="9" fontId="3" fillId="3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right" vertical="center"/>
    </xf>
    <xf numFmtId="166" fontId="3" fillId="4" borderId="0" applyAlignment="1" pivotButton="0" quotePrefix="0" xfId="0">
      <alignment horizontal="right" vertical="center"/>
    </xf>
    <xf numFmtId="9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3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6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30" customHeight="1">
      <c r="A1" s="1" t="inlineStr">
        <is>
          <t>ShopBase Factor Rate Reduction Model: How to Use This File</t>
        </is>
      </c>
    </row>
    <row r="2">
      <c r="A2" s="2" t="inlineStr"/>
    </row>
    <row r="3">
      <c r="A3" s="2" t="inlineStr">
        <is>
          <t>This model answers one question: should CapFlow reduce the ShopBase factor rate by 0.5%?</t>
        </is>
      </c>
    </row>
    <row r="4">
      <c r="A4" s="2" t="inlineStr"/>
    </row>
    <row r="5">
      <c r="A5" s="2" t="inlineStr">
        <is>
          <t>The file has four tabs:</t>
        </is>
      </c>
    </row>
    <row r="6">
      <c r="A6" s="2" t="inlineStr">
        <is>
          <t xml:space="preserve">  1. Instructions  -- this page</t>
        </is>
      </c>
    </row>
    <row r="7">
      <c r="A7" s="2" t="inlineStr">
        <is>
          <t xml:space="preserve">  2. Assumptions   -- change the yellow cells to update the whole model</t>
        </is>
      </c>
    </row>
    <row r="8">
      <c r="A8" s="2" t="inlineStr">
        <is>
          <t xml:space="preserve">  3. Current State -- ShopBase performance over the last 18 months</t>
        </is>
      </c>
    </row>
    <row r="9">
      <c r="A9" s="2" t="inlineStr">
        <is>
          <t xml:space="preserve">  4. Scenarios     -- three volume uplift scenarios and their revenue impact</t>
        </is>
      </c>
    </row>
    <row r="10">
      <c r="A10" s="2" t="inlineStr"/>
    </row>
    <row r="11">
      <c r="A11" s="3" t="inlineStr">
        <is>
          <t>HOW TO USE IT</t>
        </is>
      </c>
    </row>
    <row r="12">
      <c r="A12" s="2" t="inlineStr"/>
    </row>
    <row r="13">
      <c r="A13" s="2" t="inlineStr">
        <is>
          <t xml:space="preserve">  Go to the Assumptions tab.</t>
        </is>
      </c>
    </row>
    <row r="14">
      <c r="A14" s="2" t="inlineStr">
        <is>
          <t xml:space="preserve">  The yellow cells are the only ones you need to change.</t>
        </is>
      </c>
    </row>
    <row r="15">
      <c r="A15" s="2" t="inlineStr">
        <is>
          <t xml:space="preserve">  All other cells contain formulas and will update automatically.</t>
        </is>
      </c>
    </row>
    <row r="16">
      <c r="A16" s="2" t="inlineStr"/>
    </row>
    <row r="17">
      <c r="A17" s="2" t="inlineStr">
        <is>
          <t xml:space="preserve">  The most important inputs are the three volume uplift assumptions.</t>
        </is>
      </c>
    </row>
    <row r="18">
      <c r="A18" s="2" t="inlineStr">
        <is>
          <t xml:space="preserve">  These are your estimates of how many more deals the rate cut will attract.</t>
        </is>
      </c>
    </row>
    <row r="19">
      <c r="A19" s="2" t="inlineStr">
        <is>
          <t xml:space="preserve">  Adjust them based on your commercial judgement.</t>
        </is>
      </c>
    </row>
    <row r="20">
      <c r="A20" s="2" t="inlineStr"/>
    </row>
    <row r="21">
      <c r="A21" s="3" t="inlineStr">
        <is>
          <t>KEY OUTPUT TO LOOK FOR</t>
        </is>
      </c>
    </row>
    <row r="22">
      <c r="A22" s="2" t="inlineStr"/>
    </row>
    <row r="23">
      <c r="A23" s="2" t="inlineStr">
        <is>
          <t xml:space="preserve">  Breakeven volume uplift on the Scenarios tab.</t>
        </is>
      </c>
    </row>
    <row r="24">
      <c r="A24" s="2" t="inlineStr">
        <is>
          <t xml:space="preserve">  If your volume uplift assumption is above this number, the rate cut is worth doing.</t>
        </is>
      </c>
    </row>
    <row r="25">
      <c r="A25" s="2" t="inlineStr">
        <is>
          <t xml:space="preserve">  All three scenarios are currently above breakeven.</t>
        </is>
      </c>
    </row>
    <row r="26">
      <c r="A26" s="2" t="inlineStr"/>
    </row>
    <row r="27">
      <c r="A27" s="3" t="inlineStr">
        <is>
          <t>IMPORTANT CAVEAT</t>
        </is>
      </c>
    </row>
    <row r="28">
      <c r="A28" s="2" t="inlineStr"/>
    </row>
    <row r="29">
      <c r="A29" s="2" t="inlineStr">
        <is>
          <t xml:space="preserve">  The volume uplift figures are assumptions, not measured price elasticity.</t>
        </is>
      </c>
    </row>
    <row r="30">
      <c r="A30" s="2" t="inlineStr">
        <is>
          <t xml:space="preserve">  We recommend testing the rate cut on a subset of ShopBase merchants first</t>
        </is>
      </c>
    </row>
    <row r="31">
      <c r="A31" s="2" t="inlineStr">
        <is>
          <t xml:space="preserve">  before committing to a full rollout.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40" customWidth="1" min="3" max="3"/>
  </cols>
  <sheetData>
    <row r="1" ht="25" customHeight="1">
      <c r="A1" s="1" t="inlineStr">
        <is>
          <t>Assumption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Rate cut</t>
        </is>
      </c>
      <c r="B2" s="4" t="n">
        <v>0.005</v>
      </c>
      <c r="C2" s="5" t="inlineStr">
        <is>
          <t>Factor rate reduction being tested</t>
        </is>
      </c>
    </row>
    <row r="3">
      <c r="A3" s="2" t="inlineStr">
        <is>
          <t>Current avg factor rate</t>
        </is>
      </c>
      <c r="B3" s="4" t="n">
        <v>1.237138869504536</v>
      </c>
      <c r="C3" s="5" t="inlineStr">
        <is>
          <t>Average across ShopBase book</t>
        </is>
      </c>
    </row>
    <row r="4">
      <c r="A4" s="2" t="inlineStr">
        <is>
          <t>Average deal size</t>
        </is>
      </c>
      <c r="B4" s="6" t="n">
        <v>14937.81831821354</v>
      </c>
      <c r="C4" s="5" t="inlineStr">
        <is>
          <t>Average funded amount per deal</t>
        </is>
      </c>
    </row>
    <row r="5">
      <c r="A5" s="2" t="inlineStr">
        <is>
          <t>Total deals (current)</t>
        </is>
      </c>
      <c r="B5" s="7" t="n">
        <v>1433</v>
      </c>
      <c r="C5" s="5" t="inlineStr">
        <is>
          <t>Total ShopBase deals in period</t>
        </is>
      </c>
    </row>
    <row r="6">
      <c r="A6" s="2" t="inlineStr">
        <is>
          <t>Total funded volume</t>
        </is>
      </c>
      <c r="B6" s="6" t="n">
        <v>21405893.65</v>
      </c>
      <c r="C6" s="5" t="inlineStr">
        <is>
          <t>Total funded volume in period</t>
        </is>
      </c>
    </row>
    <row r="7">
      <c r="A7" s="8" t="inlineStr"/>
    </row>
    <row r="8">
      <c r="A8" s="3" t="inlineStr">
        <is>
          <t>SCENARIO UPLIFTS (change these)</t>
        </is>
      </c>
      <c r="C8" s="9" t="inlineStr">
        <is>
          <t>These are the key assumptions -- adjust based on your judgement</t>
        </is>
      </c>
    </row>
    <row r="9">
      <c r="A9" s="2" t="inlineStr">
        <is>
          <t>Conservative uplift</t>
        </is>
      </c>
      <c r="B9" s="10" t="n">
        <v>0.1</v>
      </c>
      <c r="C9" s="5" t="inlineStr">
        <is>
          <t>Low end: merchants are not very price sensitive</t>
        </is>
      </c>
    </row>
    <row r="10">
      <c r="A10" s="2" t="inlineStr">
        <is>
          <t>Base uplift</t>
        </is>
      </c>
      <c r="B10" s="10" t="n">
        <v>0.2</v>
      </c>
      <c r="C10" s="5" t="inlineStr">
        <is>
          <t>Central case</t>
        </is>
      </c>
    </row>
    <row r="11">
      <c r="A11" s="2" t="inlineStr">
        <is>
          <t>Optimistic uplift</t>
        </is>
      </c>
      <c r="B11" s="10" t="n">
        <v>0.35</v>
      </c>
      <c r="C11" s="5" t="inlineStr">
        <is>
          <t>High end: strong price sensitivity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</cols>
  <sheetData>
    <row r="1" ht="25" customHeight="1">
      <c r="A1" s="1" t="inlineStr">
        <is>
          <t>ShopBase Current State (18-month period)</t>
        </is>
      </c>
      <c r="B1" s="1" t="inlineStr">
        <is>
          <t>Value</t>
        </is>
      </c>
    </row>
    <row r="2">
      <c r="A2" s="2" t="inlineStr">
        <is>
          <t>Total deals funded</t>
        </is>
      </c>
      <c r="B2" s="11">
        <f>Assumptions!B5</f>
        <v/>
      </c>
    </row>
    <row r="3">
      <c r="A3" s="2" t="inlineStr">
        <is>
          <t>Total funded volume</t>
        </is>
      </c>
      <c r="B3" s="12">
        <f>Assumptions!B6</f>
        <v/>
      </c>
    </row>
    <row r="4">
      <c r="A4" s="2" t="inlineStr">
        <is>
          <t>Average deal size</t>
        </is>
      </c>
      <c r="B4" s="12">
        <f>Assumptions!B4</f>
        <v/>
      </c>
    </row>
    <row r="5">
      <c r="A5" s="2" t="inlineStr">
        <is>
          <t>Average factor rate</t>
        </is>
      </c>
      <c r="B5" s="13">
        <f>Assumptions!B3</f>
        <v/>
      </c>
    </row>
    <row r="6">
      <c r="A6" s="2" t="inlineStr"/>
    </row>
    <row r="7">
      <c r="A7" s="2" t="inlineStr">
        <is>
          <t>Gross revenue (fees)</t>
        </is>
      </c>
      <c r="B7" s="12" t="n">
        <v>4457547.805599999</v>
      </c>
    </row>
    <row r="8">
      <c r="A8" s="2" t="inlineStr">
        <is>
          <t>Default losses</t>
        </is>
      </c>
      <c r="B8" s="12" t="n">
        <v>696079.5700000001</v>
      </c>
    </row>
    <row r="9">
      <c r="A9" s="2" t="inlineStr">
        <is>
          <t>Net revenue</t>
        </is>
      </c>
      <c r="B9" s="14">
        <f>B7-B8</f>
        <v/>
      </c>
    </row>
    <row r="10">
      <c r="A10" s="2" t="inlineStr"/>
    </row>
    <row r="11">
      <c r="A11" s="2" t="inlineStr">
        <is>
          <t>Default rate</t>
        </is>
      </c>
      <c r="B11" s="15" t="n">
        <v>0.07117934403349616</v>
      </c>
    </row>
    <row r="12">
      <c r="A12" s="2" t="inlineStr">
        <is>
          <t>Risk-adjusted return</t>
        </is>
      </c>
      <c r="B12" s="15" t="n">
        <v>0.1757211493760737</v>
      </c>
    </row>
    <row r="13">
      <c r="A13" s="2" t="inlineStr"/>
    </row>
    <row r="14">
      <c r="A14" s="2" t="inlineStr">
        <is>
          <t>New factor rate (post cut)</t>
        </is>
      </c>
      <c r="B14" s="13">
        <f>Assumptions!B3-Assumptions!B2</f>
        <v/>
      </c>
    </row>
    <row r="15">
      <c r="A15" s="2" t="inlineStr">
        <is>
          <t>New margin per £1</t>
        </is>
      </c>
      <c r="B15" s="13">
        <f>Assumptions!B3-Assumptions!B2-1</f>
        <v/>
      </c>
    </row>
    <row r="16">
      <c r="A16" s="2" t="inlineStr">
        <is>
          <t>Revenue lost on existing book</t>
        </is>
      </c>
      <c r="B16" s="12">
        <f>Assumptions!B6*Assumptions!B2</f>
        <v/>
      </c>
    </row>
    <row r="17">
      <c r="A17" s="2" t="inlineStr">
        <is>
          <t>Revenue per new deal</t>
        </is>
      </c>
      <c r="B17" s="12">
        <f>Assumptions!B4*(Assumptions!B3-Assumptions!B2-1)</f>
        <v/>
      </c>
    </row>
    <row r="18">
      <c r="A18" s="2" t="inlineStr">
        <is>
          <t>Breakeven new deals</t>
        </is>
      </c>
      <c r="B18" s="16">
        <f>B16/B17</f>
        <v/>
      </c>
    </row>
    <row r="19">
      <c r="A19" s="2" t="inlineStr">
        <is>
          <t>Breakeven uplift %</t>
        </is>
      </c>
      <c r="B19" s="17">
        <f>B18/Assumptions!B5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5" customHeight="1">
      <c r="A1" s="1" t="inlineStr">
        <is>
          <t>Metric</t>
        </is>
      </c>
      <c r="B1" s="1" t="inlineStr">
        <is>
          <t>Conservative</t>
        </is>
      </c>
      <c r="C1" s="1" t="inlineStr">
        <is>
          <t>Base</t>
        </is>
      </c>
      <c r="D1" s="1" t="inlineStr">
        <is>
          <t>Optimistic</t>
        </is>
      </c>
    </row>
    <row r="2">
      <c r="A2" s="2" t="inlineStr">
        <is>
          <t>Volume uplift assumed</t>
        </is>
      </c>
      <c r="B2" s="18">
        <f>Assumptions!B9</f>
        <v/>
      </c>
      <c r="C2" s="18">
        <f>Assumptions!B10</f>
        <v/>
      </c>
      <c r="D2" s="18">
        <f>Assumptions!B11</f>
        <v/>
      </c>
    </row>
    <row r="3">
      <c r="A3" s="2" t="inlineStr">
        <is>
          <t>New deals</t>
        </is>
      </c>
      <c r="B3" s="19">
        <f>ROUND(Assumptions!B5*Assumptions!B9,0)</f>
        <v/>
      </c>
      <c r="C3" s="19">
        <f>ROUND(Assumptions!B5*Assumptions!B10,0)</f>
        <v/>
      </c>
      <c r="D3" s="19">
        <f>ROUND(Assumptions!B5*Assumptions!B11,0)</f>
        <v/>
      </c>
    </row>
    <row r="4">
      <c r="A4" s="2" t="inlineStr">
        <is>
          <t>New funded volume</t>
        </is>
      </c>
      <c r="B4" s="20">
        <f>ROUND(Assumptions!B5*Assumptions!B9,0)*Assumptions!B4</f>
        <v/>
      </c>
      <c r="C4" s="20">
        <f>ROUND(Assumptions!B5*Assumptions!B10,0)*Assumptions!B4</f>
        <v/>
      </c>
      <c r="D4" s="20">
        <f>ROUND(Assumptions!B5*Assumptions!B11,0)*Assumptions!B4</f>
        <v/>
      </c>
    </row>
    <row r="5">
      <c r="A5" s="2" t="inlineStr">
        <is>
          <t>Revenue lost (margin cut on existing book)</t>
        </is>
      </c>
      <c r="B5" s="20">
        <f>'Current State'!B16</f>
        <v/>
      </c>
      <c r="C5" s="20">
        <f>'Current State'!B16</f>
        <v/>
      </c>
      <c r="D5" s="20">
        <f>'Current State'!B16</f>
        <v/>
      </c>
    </row>
    <row r="6">
      <c r="A6" s="2" t="inlineStr">
        <is>
          <t>Revenue gained (new deals)</t>
        </is>
      </c>
      <c r="B6" s="20">
        <f>ROUND(Assumptions!B5*Assumptions!B9,0)*Assumptions!B4*(Assumptions!B3-Assumptions!B2-1)</f>
        <v/>
      </c>
      <c r="C6" s="20">
        <f>ROUND(Assumptions!B5*Assumptions!B10,0)*Assumptions!B4*(Assumptions!B3-Assumptions!B2-1)</f>
        <v/>
      </c>
      <c r="D6" s="20">
        <f>ROUND(Assumptions!B5*Assumptions!B11,0)*Assumptions!B4*(Assumptions!B3-Assumptions!B2-1)</f>
        <v/>
      </c>
    </row>
    <row r="7">
      <c r="A7" s="2" t="inlineStr">
        <is>
          <t>Net revenue impact</t>
        </is>
      </c>
      <c r="B7" s="21">
        <f>ROUND(Assumptions!B5*Assumptions!B9,0)*Assumptions!B4*(Assumptions!B3-Assumptions!B2-1)-'Current State'!B16</f>
        <v/>
      </c>
      <c r="C7" s="21">
        <f>ROUND(Assumptions!B5*Assumptions!B10,0)*Assumptions!B4*(Assumptions!B3-Assumptions!B2-1)-'Current State'!B16</f>
        <v/>
      </c>
      <c r="D7" s="21">
        <f>ROUND(Assumptions!B5*Assumptions!B11,0)*Assumptions!B4*(Assumptions!B3-Assumptions!B2-1)-'Current State'!B16</f>
        <v/>
      </c>
    </row>
    <row r="8">
      <c r="A8" s="2" t="inlineStr">
        <is>
          <t>NPV positive?</t>
        </is>
      </c>
      <c r="B8" s="22">
        <f>IF(ROUND(Assumptions!B5*Assumptions!B9,0)*Assumptions!B4*(Assumptions!B3-Assumptions!B2-1)-'Current State'!B16&gt;0,"YES","NO")</f>
        <v/>
      </c>
      <c r="C8" s="22">
        <f>IF(ROUND(Assumptions!B5*Assumptions!B10,0)*Assumptions!B4*(Assumptions!B3-Assumptions!B2-1)-'Current State'!B16&gt;0,"YES","NO")</f>
        <v/>
      </c>
      <c r="D8" s="22">
        <f>IF(ROUND(Assumptions!B5*Assumptions!B11,0)*Assumptions!B4*(Assumptions!B3-Assumptions!B2-1)-'Current State'!B16&gt;0,"YES","NO")</f>
        <v/>
      </c>
    </row>
    <row r="11">
      <c r="A11" s="3" t="inlineStr">
        <is>
          <t>Breakeven uplift (from Current State tab):</t>
        </is>
      </c>
      <c r="B11" s="23">
        <f>'Current State'!B19</f>
        <v/>
      </c>
    </row>
    <row r="12">
      <c r="A12" s="5" t="inlineStr">
        <is>
          <t>The rate cut is NPV-positive above this threshold.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2026-05-05T23:58:45Z</dcterms:created>
  <dcterms:modified xmlns:dcterms="http://purl.org/dc/terms/" xmlns:xsi="http://www.w3.org/2001/XMLSchema-instance" xsi:type="dcterms:W3CDTF">2026-05-05T23:58:45Z</dcterms:modified>
</cp:coreProperties>
</file>